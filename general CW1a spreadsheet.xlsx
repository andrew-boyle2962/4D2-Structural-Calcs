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b2962_cam_ac_uk/Documents/IIB/4D2 - Advanced Structural Design/CW1a - Code/"/>
    </mc:Choice>
  </mc:AlternateContent>
  <xr:revisionPtr revIDLastSave="187" documentId="13_ncr:1_{149C0EE0-62D6-4E08-A6D0-CDE97CFC8331}" xr6:coauthVersionLast="47" xr6:coauthVersionMax="47" xr10:uidLastSave="{F7484D65-CAEF-41F4-B076-9493A188F805}"/>
  <bookViews>
    <workbookView xWindow="-120" yWindow="-120" windowWidth="29040" windowHeight="15720" xr2:uid="{96BC34A1-D6D1-445A-BD03-240BBF1634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" i="1" l="1"/>
  <c r="Q41" i="1"/>
  <c r="Q40" i="1"/>
  <c r="M6" i="1"/>
  <c r="M7" i="1"/>
  <c r="M8" i="1"/>
  <c r="M9" i="1"/>
  <c r="M10" i="1"/>
  <c r="M5" i="1"/>
  <c r="I6" i="1"/>
  <c r="I7" i="1" s="1"/>
  <c r="I8" i="1" s="1"/>
  <c r="I9" i="1" s="1"/>
  <c r="I10" i="1" s="1"/>
  <c r="I11" i="1" s="1"/>
  <c r="I12" i="1" s="1"/>
  <c r="I13" i="1" s="1"/>
  <c r="I19" i="1" s="1"/>
  <c r="J5" i="1"/>
  <c r="J6" i="1" s="1"/>
  <c r="I5" i="1"/>
  <c r="H1" i="1"/>
  <c r="F7" i="1" s="1"/>
  <c r="E7" i="1"/>
  <c r="F1" i="1" s="1"/>
  <c r="E4" i="1" s="1"/>
  <c r="E10" i="1"/>
  <c r="F4" i="1"/>
  <c r="F12" i="1"/>
  <c r="F13" i="1"/>
  <c r="F14" i="1"/>
  <c r="F15" i="1"/>
  <c r="F11" i="1"/>
  <c r="F10" i="1"/>
  <c r="J7" i="1" l="1"/>
  <c r="J8" i="1" s="1"/>
  <c r="J9" i="1" s="1"/>
  <c r="J10" i="1" s="1"/>
  <c r="I21" i="1"/>
  <c r="I22" i="1"/>
  <c r="I14" i="1"/>
  <c r="I18" i="1" s="1"/>
  <c r="J11" i="1" l="1"/>
  <c r="J22" i="1"/>
  <c r="I15" i="1"/>
  <c r="I17" i="1" s="1"/>
  <c r="J12" i="1" l="1"/>
  <c r="J21" i="1"/>
  <c r="I16" i="1"/>
  <c r="J13" i="1" l="1"/>
  <c r="J20" i="1"/>
  <c r="J14" i="1" l="1"/>
  <c r="J19" i="1"/>
  <c r="I20" i="1" s="1"/>
  <c r="J15" i="1" l="1"/>
  <c r="J18" i="1"/>
  <c r="J16" i="1" l="1"/>
  <c r="J17" i="1"/>
</calcChain>
</file>

<file path=xl/sharedStrings.xml><?xml version="1.0" encoding="utf-8"?>
<sst xmlns="http://schemas.openxmlformats.org/spreadsheetml/2006/main" count="113" uniqueCount="71">
  <si>
    <t>nodes</t>
  </si>
  <si>
    <t>x</t>
  </si>
  <si>
    <t>z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</si>
  <si>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</si>
  <si>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</si>
  <si>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</si>
  <si>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</si>
  <si>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</si>
  <si>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</si>
  <si>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</si>
  <si>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</si>
  <si>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</si>
  <si>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</si>
  <si>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</si>
  <si>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</si>
  <si>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Fx</t>
  </si>
  <si>
    <t>Fz</t>
  </si>
  <si>
    <t xml:space="preserve">P = </t>
  </si>
  <si>
    <t>F_α_x</t>
  </si>
  <si>
    <t>F_δ_z</t>
  </si>
  <si>
    <t>polygons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</si>
  <si>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</si>
  <si>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</si>
  <si>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</si>
  <si>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</si>
  <si>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</si>
  <si>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</si>
  <si>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</si>
  <si>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</si>
  <si>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</si>
  <si>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</si>
  <si>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</si>
  <si>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</si>
  <si>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A_2</t>
  </si>
  <si>
    <t>F_x_1</t>
  </si>
  <si>
    <t>F_x_2</t>
  </si>
  <si>
    <t>F_x_3</t>
  </si>
  <si>
    <t>F_x_4</t>
  </si>
  <si>
    <t>F_x_5</t>
  </si>
  <si>
    <t>F_x_6</t>
  </si>
  <si>
    <t>xP</t>
  </si>
  <si>
    <t>Total</t>
  </si>
  <si>
    <t>Lines</t>
  </si>
  <si>
    <t>L1</t>
  </si>
  <si>
    <t>L2</t>
  </si>
  <si>
    <t>L3</t>
  </si>
  <si>
    <t>L4</t>
  </si>
  <si>
    <t>FORCE</t>
  </si>
  <si>
    <t>X</t>
  </si>
  <si>
    <t>Y</t>
  </si>
  <si>
    <t>Z</t>
  </si>
  <si>
    <t>BAR</t>
  </si>
  <si>
    <t>A1</t>
  </si>
  <si>
    <t>12</t>
  </si>
  <si>
    <t>B2</t>
  </si>
  <si>
    <t>K2</t>
  </si>
  <si>
    <t>23</t>
  </si>
  <si>
    <t>C3</t>
  </si>
  <si>
    <t>J3</t>
  </si>
  <si>
    <t>34</t>
  </si>
  <si>
    <t>D4</t>
  </si>
  <si>
    <t>I4</t>
  </si>
  <si>
    <t>45</t>
  </si>
  <si>
    <t>E5</t>
  </si>
  <si>
    <t>H5</t>
  </si>
  <si>
    <t>56</t>
  </si>
  <si>
    <t>F6</t>
  </si>
  <si>
    <t>G6</t>
  </si>
  <si>
    <t>dX</t>
  </si>
  <si>
    <t>dY</t>
  </si>
  <si>
    <t>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</si>
</sst>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hair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0" borderId="2" applyNumberFormat="0" applyFill="0" applyAlignment="0" applyProtection="0"/>
    <xf numFmtId="0" fontId="4" fillId="4" borderId="3" applyNumberFormat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3" fillId="0" borderId="2" xfId="3"/>
    <xf numFmtId="0" fontId="2" fillId="3" borderId="1" xfId="2"/>
    <xf numFmtId="0" fontId="1" fillId="2" borderId="1" xfId="1"/>
    <xf numFmtId="0" fontId="4" fillId="4" borderId="3" xfId="4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left"/>
    </xf>
  </cellXfs>
  <cellStyles count="5">
    <cellStyle name="Calculation" xfId="2" builtinId="22"/>
    <cellStyle name="Check Cell" xfId="4" builtinId="23"/>
    <cellStyle name="Input" xfId="1" builtinId="20"/>
    <cellStyle name="Linked Cell" xfId="3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9F51B-36AB-4BE2-9D92-BE7EFB81481A}" name="Table1" displayName="Table1" ref="H3:J22" totalsRowShown="0">
  <autoFilter ref="H3:J22" xr:uid="{3899F51B-36AB-4BE2-9D92-BE7EFB81481A}"/>
  <tableColumns count="3">
    <tableColumn id="1" xr3:uid="{F4252C0B-20B2-4194-99F2-2D873F08F2FE}" name="polygons"/>
    <tableColumn id="2" xr3:uid="{112FE923-346A-4E96-884C-E53119CA6E8C}" name="x"/>
    <tableColumn id="3" xr3:uid="{BFE94C5B-16C4-4032-BFC2-23EC97BDC108}" name="z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28D4E7-9031-4955-8DFD-EA842EF7B653}" name="Table2" displayName="Table2" ref="B3:F15" totalsRowShown="0">
  <autoFilter ref="B3:F15" xr:uid="{2828D4E7-9031-4955-8DFD-EA842EF7B653}"/>
  <tableColumns count="5">
    <tableColumn id="1" xr3:uid="{31CBA137-4DA3-4186-A7BD-E3F05B4C0675}" name="nodes"/>
    <tableColumn id="2" xr3:uid="{6486EA72-8B0F-4A75-9723-8B070B8FC9E1}" name="x"/>
    <tableColumn id="3" xr3:uid="{28C7EA25-687A-499F-8633-61ED42174048}" name="z"/>
    <tableColumn id="4" xr3:uid="{2F5A3EC5-7DE7-4C38-A617-0E7C95F512B6}" name="Fx"/>
    <tableColumn id="5" xr3:uid="{56F31FD0-CEA2-4AE1-9ACA-15C2074BFACC}" name="Fz">
      <calculatedColumnFormula>-$C$1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7C17-4534-43A7-82EF-66D9581CB296}">
  <dimension ref="B1:U45"/>
  <sheetViews>
    <sheetView tabSelected="1" topLeftCell="A18" workbookViewId="0">
      <selection activeCell="X30" sqref="X30"/>
    </sheetView>
  </sheetViews>
  <sheetFormatPr defaultRowHeight="15" x14ac:dyDescent="0.25"/>
  <cols>
    <col min="8" max="8" width="9.85546875" customWidth="1"/>
  </cols>
  <sheetData>
    <row r="1" spans="2:16" ht="15.75" thickBot="1" x14ac:dyDescent="0.3">
      <c r="B1" s="1" t="s">
        <v>17</v>
      </c>
      <c r="C1">
        <v>100</v>
      </c>
      <c r="E1" s="1" t="s">
        <v>18</v>
      </c>
      <c r="F1" s="2">
        <f>-SUM(E5:E15)</f>
        <v>500</v>
      </c>
      <c r="G1" s="1" t="s">
        <v>19</v>
      </c>
      <c r="H1" s="2">
        <f>-SUM(F4:F6,F8:F15)</f>
        <v>600</v>
      </c>
    </row>
    <row r="2" spans="2:16" ht="15.75" thickTop="1" x14ac:dyDescent="0.25">
      <c r="O2" t="s">
        <v>47</v>
      </c>
    </row>
    <row r="3" spans="2:16" x14ac:dyDescent="0.25">
      <c r="B3" t="s">
        <v>0</v>
      </c>
      <c r="C3" t="s">
        <v>1</v>
      </c>
      <c r="D3" t="s">
        <v>2</v>
      </c>
      <c r="E3" t="s">
        <v>15</v>
      </c>
      <c r="F3" t="s">
        <v>16</v>
      </c>
      <c r="H3" t="s">
        <v>20</v>
      </c>
      <c r="I3" t="s">
        <v>1</v>
      </c>
      <c r="J3" t="s">
        <v>2</v>
      </c>
      <c r="O3" t="s">
        <v>42</v>
      </c>
    </row>
    <row r="4" spans="2:16" ht="15.75" thickBot="1" x14ac:dyDescent="0.3">
      <c r="B4" t="s">
        <v>3</v>
      </c>
      <c r="C4">
        <v>0</v>
      </c>
      <c r="D4">
        <v>0</v>
      </c>
      <c r="E4" s="2">
        <f>$F$1</f>
        <v>500</v>
      </c>
      <c r="F4">
        <f>-$C$1/2</f>
        <v>-50</v>
      </c>
      <c r="H4" t="s">
        <v>21</v>
      </c>
      <c r="I4">
        <v>0</v>
      </c>
      <c r="J4">
        <v>0</v>
      </c>
      <c r="L4" t="s">
        <v>40</v>
      </c>
      <c r="M4" t="s">
        <v>41</v>
      </c>
      <c r="O4" t="s">
        <v>43</v>
      </c>
      <c r="P4" t="s">
        <v>21</v>
      </c>
    </row>
    <row r="5" spans="2:16" ht="15.75" thickTop="1" x14ac:dyDescent="0.25">
      <c r="B5" t="s">
        <v>4</v>
      </c>
      <c r="C5" s="3"/>
      <c r="D5" s="3"/>
      <c r="E5">
        <v>0</v>
      </c>
      <c r="F5">
        <v>0</v>
      </c>
      <c r="H5" t="s">
        <v>22</v>
      </c>
      <c r="I5">
        <f>I4+E5</f>
        <v>0</v>
      </c>
      <c r="J5">
        <f>J4+F5</f>
        <v>0</v>
      </c>
      <c r="K5" s="1" t="s">
        <v>34</v>
      </c>
      <c r="L5" s="4">
        <v>4</v>
      </c>
      <c r="M5">
        <f>L5*$C$1</f>
        <v>400</v>
      </c>
      <c r="O5" t="s">
        <v>44</v>
      </c>
      <c r="P5" t="s">
        <v>22</v>
      </c>
    </row>
    <row r="6" spans="2:16" x14ac:dyDescent="0.25">
      <c r="B6" t="s">
        <v>5</v>
      </c>
      <c r="C6" s="3"/>
      <c r="D6" s="3"/>
      <c r="E6">
        <v>0</v>
      </c>
      <c r="F6">
        <v>0</v>
      </c>
      <c r="H6" t="s">
        <v>23</v>
      </c>
      <c r="I6">
        <f t="shared" ref="I6:I15" si="0">I5+E6</f>
        <v>0</v>
      </c>
      <c r="J6">
        <f t="shared" ref="J6:J15" si="1">J5+F6</f>
        <v>0</v>
      </c>
      <c r="K6" s="1" t="s">
        <v>35</v>
      </c>
      <c r="L6" s="4">
        <v>5</v>
      </c>
      <c r="M6">
        <f t="shared" ref="M6:M10" si="2">L6*$C$1</f>
        <v>500</v>
      </c>
      <c r="O6" t="s">
        <v>45</v>
      </c>
      <c r="P6" t="s">
        <v>23</v>
      </c>
    </row>
    <row r="7" spans="2:16" ht="15.75" thickBot="1" x14ac:dyDescent="0.3">
      <c r="B7" t="s">
        <v>6</v>
      </c>
      <c r="C7" s="3"/>
      <c r="D7" s="3"/>
      <c r="E7">
        <f>-2*$C$1</f>
        <v>-200</v>
      </c>
      <c r="F7" s="2">
        <f>$H$1</f>
        <v>600</v>
      </c>
      <c r="H7" t="s">
        <v>24</v>
      </c>
      <c r="I7">
        <f t="shared" si="0"/>
        <v>-200</v>
      </c>
      <c r="J7">
        <f t="shared" si="1"/>
        <v>600</v>
      </c>
      <c r="K7" s="1" t="s">
        <v>36</v>
      </c>
      <c r="L7" s="4">
        <v>6</v>
      </c>
      <c r="M7">
        <f t="shared" si="2"/>
        <v>600</v>
      </c>
      <c r="O7" t="s">
        <v>46</v>
      </c>
      <c r="P7" t="s">
        <v>24</v>
      </c>
    </row>
    <row r="8" spans="2:16" ht="16.5" thickTop="1" thickBot="1" x14ac:dyDescent="0.3">
      <c r="B8" t="s">
        <v>7</v>
      </c>
      <c r="C8" s="3"/>
      <c r="D8" s="3"/>
      <c r="E8">
        <v>0</v>
      </c>
      <c r="F8">
        <v>0</v>
      </c>
      <c r="H8" t="s">
        <v>25</v>
      </c>
      <c r="I8">
        <f t="shared" si="0"/>
        <v>-200</v>
      </c>
      <c r="J8">
        <f t="shared" si="1"/>
        <v>600</v>
      </c>
      <c r="K8" s="1" t="s">
        <v>37</v>
      </c>
      <c r="L8" s="5"/>
      <c r="M8">
        <f t="shared" si="2"/>
        <v>0</v>
      </c>
      <c r="P8" t="s">
        <v>21</v>
      </c>
    </row>
    <row r="9" spans="2:16" ht="15.75" thickTop="1" x14ac:dyDescent="0.25">
      <c r="B9" t="s">
        <v>8</v>
      </c>
      <c r="C9" s="3"/>
      <c r="D9" s="3"/>
      <c r="E9">
        <v>0</v>
      </c>
      <c r="F9">
        <v>0</v>
      </c>
      <c r="H9" t="s">
        <v>26</v>
      </c>
      <c r="I9">
        <f t="shared" si="0"/>
        <v>-200</v>
      </c>
      <c r="J9">
        <f t="shared" si="1"/>
        <v>600</v>
      </c>
      <c r="K9" s="1" t="s">
        <v>38</v>
      </c>
      <c r="L9" s="4">
        <v>5</v>
      </c>
      <c r="M9">
        <f t="shared" si="2"/>
        <v>500</v>
      </c>
      <c r="P9" t="s">
        <v>21</v>
      </c>
    </row>
    <row r="10" spans="2:16" x14ac:dyDescent="0.25">
      <c r="B10" t="s">
        <v>9</v>
      </c>
      <c r="C10">
        <v>24</v>
      </c>
      <c r="D10">
        <v>0</v>
      </c>
      <c r="E10">
        <f>-3*$C$1</f>
        <v>-300</v>
      </c>
      <c r="F10">
        <f>-$C$1/2</f>
        <v>-50</v>
      </c>
      <c r="H10" t="s">
        <v>27</v>
      </c>
      <c r="I10">
        <f t="shared" si="0"/>
        <v>-500</v>
      </c>
      <c r="J10">
        <f t="shared" si="1"/>
        <v>550</v>
      </c>
      <c r="K10" s="1" t="s">
        <v>39</v>
      </c>
      <c r="L10" s="4">
        <v>4</v>
      </c>
      <c r="M10">
        <f t="shared" si="2"/>
        <v>400</v>
      </c>
      <c r="P10" t="s">
        <v>21</v>
      </c>
    </row>
    <row r="11" spans="2:16" x14ac:dyDescent="0.25">
      <c r="B11" t="s">
        <v>10</v>
      </c>
      <c r="C11">
        <v>20</v>
      </c>
      <c r="D11">
        <v>0</v>
      </c>
      <c r="E11">
        <v>0</v>
      </c>
      <c r="F11">
        <f>-$C$1</f>
        <v>-100</v>
      </c>
      <c r="H11" t="s">
        <v>28</v>
      </c>
      <c r="I11">
        <f t="shared" si="0"/>
        <v>-500</v>
      </c>
      <c r="J11">
        <f t="shared" si="1"/>
        <v>450</v>
      </c>
    </row>
    <row r="12" spans="2:16" x14ac:dyDescent="0.25">
      <c r="B12" t="s">
        <v>11</v>
      </c>
      <c r="C12">
        <v>16</v>
      </c>
      <c r="D12">
        <v>0</v>
      </c>
      <c r="E12">
        <v>0</v>
      </c>
      <c r="F12">
        <f t="shared" ref="F12:F15" si="3">-$C$1</f>
        <v>-100</v>
      </c>
      <c r="H12" t="s">
        <v>29</v>
      </c>
      <c r="I12">
        <f t="shared" si="0"/>
        <v>-500</v>
      </c>
      <c r="J12">
        <f t="shared" si="1"/>
        <v>350</v>
      </c>
    </row>
    <row r="13" spans="2:16" x14ac:dyDescent="0.25">
      <c r="B13" t="s">
        <v>12</v>
      </c>
      <c r="C13">
        <v>12</v>
      </c>
      <c r="D13">
        <v>0</v>
      </c>
      <c r="E13">
        <v>0</v>
      </c>
      <c r="F13">
        <f t="shared" si="3"/>
        <v>-100</v>
      </c>
      <c r="H13" t="s">
        <v>30</v>
      </c>
      <c r="I13">
        <f t="shared" si="0"/>
        <v>-500</v>
      </c>
      <c r="J13">
        <f t="shared" si="1"/>
        <v>250</v>
      </c>
    </row>
    <row r="14" spans="2:16" x14ac:dyDescent="0.25">
      <c r="B14" t="s">
        <v>13</v>
      </c>
      <c r="C14">
        <v>8</v>
      </c>
      <c r="D14">
        <v>0</v>
      </c>
      <c r="E14">
        <v>0</v>
      </c>
      <c r="F14">
        <f t="shared" si="3"/>
        <v>-100</v>
      </c>
      <c r="H14" t="s">
        <v>31</v>
      </c>
      <c r="I14">
        <f t="shared" si="0"/>
        <v>-500</v>
      </c>
      <c r="J14">
        <f t="shared" si="1"/>
        <v>150</v>
      </c>
    </row>
    <row r="15" spans="2:16" x14ac:dyDescent="0.25">
      <c r="B15" t="s">
        <v>14</v>
      </c>
      <c r="C15">
        <v>4</v>
      </c>
      <c r="D15">
        <v>0</v>
      </c>
      <c r="E15">
        <v>0</v>
      </c>
      <c r="F15">
        <f t="shared" si="3"/>
        <v>-100</v>
      </c>
      <c r="H15" t="s">
        <v>32</v>
      </c>
      <c r="I15">
        <f t="shared" si="0"/>
        <v>-500</v>
      </c>
      <c r="J15">
        <f t="shared" si="1"/>
        <v>50</v>
      </c>
    </row>
    <row r="16" spans="2:16" x14ac:dyDescent="0.25">
      <c r="H16" t="s">
        <v>33</v>
      </c>
      <c r="I16">
        <f>I15+E4</f>
        <v>0</v>
      </c>
      <c r="J16">
        <f>J15+F4</f>
        <v>0</v>
      </c>
    </row>
    <row r="17" spans="2:21" x14ac:dyDescent="0.25">
      <c r="H17">
        <v>1</v>
      </c>
      <c r="I17">
        <f>I15+M5</f>
        <v>-100</v>
      </c>
      <c r="J17">
        <f>J15</f>
        <v>50</v>
      </c>
    </row>
    <row r="18" spans="2:21" x14ac:dyDescent="0.25">
      <c r="H18">
        <v>2</v>
      </c>
      <c r="I18">
        <f>I14+M6</f>
        <v>0</v>
      </c>
      <c r="J18">
        <f>J14</f>
        <v>150</v>
      </c>
    </row>
    <row r="19" spans="2:21" x14ac:dyDescent="0.25">
      <c r="H19">
        <v>3</v>
      </c>
      <c r="I19">
        <f>I13+M7</f>
        <v>100</v>
      </c>
      <c r="J19">
        <f>J13</f>
        <v>250</v>
      </c>
    </row>
    <row r="20" spans="2:21" ht="15.75" thickBot="1" x14ac:dyDescent="0.3">
      <c r="H20">
        <v>4</v>
      </c>
      <c r="I20" s="2">
        <f>I19+(-(J20-J19)/3)</f>
        <v>66.666666666666657</v>
      </c>
      <c r="J20">
        <f>J12</f>
        <v>350</v>
      </c>
    </row>
    <row r="21" spans="2:21" ht="15.75" thickTop="1" x14ac:dyDescent="0.25">
      <c r="H21">
        <v>5</v>
      </c>
      <c r="I21">
        <f>I11+M9</f>
        <v>0</v>
      </c>
      <c r="J21">
        <f>J11</f>
        <v>450</v>
      </c>
    </row>
    <row r="22" spans="2:21" x14ac:dyDescent="0.25">
      <c r="H22">
        <v>6</v>
      </c>
      <c r="I22">
        <f>I10+M10</f>
        <v>-100</v>
      </c>
      <c r="J22">
        <f>J10</f>
        <v>550</v>
      </c>
    </row>
    <row r="25" spans="2:21" x14ac:dyDescent="0.25">
      <c r="C25" t="s">
        <v>47</v>
      </c>
      <c r="H25" t="s">
        <v>47</v>
      </c>
      <c r="N25" t="s">
        <v>48</v>
      </c>
      <c r="O25" t="s">
        <v>49</v>
      </c>
      <c r="Q25" t="s">
        <v>48</v>
      </c>
      <c r="R25" t="s">
        <v>50</v>
      </c>
      <c r="T25" t="s">
        <v>49</v>
      </c>
      <c r="U25" t="s">
        <v>50</v>
      </c>
    </row>
    <row r="26" spans="2:21" x14ac:dyDescent="0.25">
      <c r="C26" t="s">
        <v>48</v>
      </c>
      <c r="D26" t="s">
        <v>49</v>
      </c>
      <c r="E26" t="s">
        <v>50</v>
      </c>
      <c r="G26" t="s">
        <v>51</v>
      </c>
      <c r="H26" t="s">
        <v>68</v>
      </c>
      <c r="I26" t="s">
        <v>69</v>
      </c>
      <c r="J26" t="s">
        <v>70</v>
      </c>
      <c r="M26" t="s">
        <v>21</v>
      </c>
      <c r="N26">
        <v>0</v>
      </c>
      <c r="O26">
        <v>0</v>
      </c>
      <c r="Q26">
        <v>0</v>
      </c>
      <c r="R26">
        <v>0</v>
      </c>
      <c r="T26">
        <v>0</v>
      </c>
      <c r="U26">
        <v>0</v>
      </c>
    </row>
    <row r="27" spans="2:21" x14ac:dyDescent="0.25">
      <c r="B27" t="s">
        <v>21</v>
      </c>
      <c r="C27">
        <v>0</v>
      </c>
      <c r="D27">
        <v>0</v>
      </c>
      <c r="E27">
        <v>0</v>
      </c>
      <c r="G27" t="s">
        <v>52</v>
      </c>
      <c r="H27">
        <v>-1.6666666699999999</v>
      </c>
      <c r="I27">
        <v>-0.27866667000000001</v>
      </c>
      <c r="J27">
        <v>-0.5</v>
      </c>
      <c r="M27" t="s">
        <v>22</v>
      </c>
      <c r="N27">
        <v>0</v>
      </c>
      <c r="O27">
        <v>0</v>
      </c>
      <c r="Q27">
        <v>0</v>
      </c>
      <c r="R27">
        <v>0</v>
      </c>
      <c r="T27">
        <v>0</v>
      </c>
      <c r="U27">
        <v>0</v>
      </c>
    </row>
    <row r="28" spans="2:21" x14ac:dyDescent="0.25">
      <c r="B28" t="s">
        <v>22</v>
      </c>
      <c r="C28">
        <v>0</v>
      </c>
      <c r="D28">
        <v>0</v>
      </c>
      <c r="E28">
        <v>0</v>
      </c>
      <c r="G28" t="s">
        <v>43</v>
      </c>
      <c r="H28">
        <v>6.6666666699999997</v>
      </c>
      <c r="I28">
        <v>2.3833333300000001</v>
      </c>
      <c r="J28">
        <v>0</v>
      </c>
      <c r="M28" t="s">
        <v>23</v>
      </c>
      <c r="N28">
        <v>0</v>
      </c>
      <c r="O28">
        <v>0</v>
      </c>
      <c r="Q28">
        <v>0</v>
      </c>
      <c r="R28">
        <v>0</v>
      </c>
      <c r="T28">
        <v>0</v>
      </c>
      <c r="U28">
        <v>0</v>
      </c>
    </row>
    <row r="29" spans="2:21" x14ac:dyDescent="0.25">
      <c r="B29" t="s">
        <v>23</v>
      </c>
      <c r="C29">
        <v>0</v>
      </c>
      <c r="D29">
        <v>0</v>
      </c>
      <c r="E29">
        <v>0</v>
      </c>
      <c r="G29" s="11" t="s">
        <v>53</v>
      </c>
      <c r="H29">
        <v>-0.33333332999999998</v>
      </c>
      <c r="I29">
        <v>-0.75349999999999995</v>
      </c>
      <c r="J29">
        <v>1</v>
      </c>
      <c r="M29" t="s">
        <v>24</v>
      </c>
      <c r="N29">
        <v>2</v>
      </c>
      <c r="O29">
        <v>3.1190000000000002</v>
      </c>
      <c r="Q29">
        <v>-2</v>
      </c>
      <c r="R29">
        <v>6</v>
      </c>
      <c r="T29">
        <v>3.1190000000000002</v>
      </c>
      <c r="U29">
        <v>6</v>
      </c>
    </row>
    <row r="30" spans="2:21" x14ac:dyDescent="0.25">
      <c r="B30" t="s">
        <v>24</v>
      </c>
      <c r="C30">
        <v>2</v>
      </c>
      <c r="D30">
        <v>3.1190000000000002</v>
      </c>
      <c r="E30">
        <v>6</v>
      </c>
      <c r="G30" t="s">
        <v>54</v>
      </c>
      <c r="H30">
        <v>-1.3333333300000001</v>
      </c>
      <c r="I30">
        <v>0.47529167</v>
      </c>
      <c r="J30">
        <v>-1.5</v>
      </c>
      <c r="M30" t="s">
        <v>25</v>
      </c>
      <c r="N30">
        <v>2</v>
      </c>
      <c r="O30">
        <v>3.1190000000000002</v>
      </c>
      <c r="Q30">
        <v>-2</v>
      </c>
      <c r="R30">
        <v>6</v>
      </c>
      <c r="T30">
        <v>3.1190000000000002</v>
      </c>
      <c r="U30">
        <v>6</v>
      </c>
    </row>
    <row r="31" spans="2:21" x14ac:dyDescent="0.25">
      <c r="B31" t="s">
        <v>25</v>
      </c>
      <c r="C31">
        <v>2</v>
      </c>
      <c r="D31">
        <v>3.1190000000000002</v>
      </c>
      <c r="E31">
        <v>6</v>
      </c>
      <c r="G31" t="s">
        <v>55</v>
      </c>
      <c r="H31">
        <v>-6.3333333300000003</v>
      </c>
      <c r="I31">
        <v>-1.6292500000000001</v>
      </c>
      <c r="J31">
        <v>0</v>
      </c>
      <c r="M31" t="s">
        <v>26</v>
      </c>
      <c r="N31">
        <v>2</v>
      </c>
      <c r="O31">
        <v>3.1190000000000002</v>
      </c>
      <c r="Q31">
        <v>-2</v>
      </c>
      <c r="R31">
        <v>6</v>
      </c>
      <c r="T31">
        <v>3.1190000000000002</v>
      </c>
      <c r="U31">
        <v>6</v>
      </c>
    </row>
    <row r="32" spans="2:21" x14ac:dyDescent="0.25">
      <c r="B32" t="s">
        <v>26</v>
      </c>
      <c r="C32">
        <v>2</v>
      </c>
      <c r="D32">
        <v>3.1190000000000002</v>
      </c>
      <c r="E32">
        <v>6</v>
      </c>
      <c r="G32" s="11" t="s">
        <v>56</v>
      </c>
      <c r="H32">
        <v>-0.33333332999999998</v>
      </c>
      <c r="I32">
        <v>-0.66183333</v>
      </c>
      <c r="J32">
        <v>1</v>
      </c>
      <c r="M32" t="s">
        <v>27</v>
      </c>
      <c r="N32">
        <v>5</v>
      </c>
      <c r="O32">
        <v>2.1040000000000001</v>
      </c>
      <c r="Q32">
        <v>-5</v>
      </c>
      <c r="R32">
        <v>5.5</v>
      </c>
      <c r="T32">
        <v>2.1040000000000001</v>
      </c>
      <c r="U32">
        <v>5.5</v>
      </c>
    </row>
    <row r="33" spans="2:21" x14ac:dyDescent="0.25">
      <c r="B33" t="s">
        <v>27</v>
      </c>
      <c r="G33" t="s">
        <v>57</v>
      </c>
      <c r="H33">
        <v>1</v>
      </c>
      <c r="I33">
        <v>-1.13670833</v>
      </c>
      <c r="J33">
        <v>2.5</v>
      </c>
      <c r="M33" t="s">
        <v>28</v>
      </c>
      <c r="N33">
        <v>5</v>
      </c>
      <c r="O33">
        <v>2.1040000000000001</v>
      </c>
      <c r="Q33">
        <v>-5</v>
      </c>
      <c r="R33">
        <v>4.5</v>
      </c>
      <c r="T33">
        <v>2.1040000000000001</v>
      </c>
      <c r="U33">
        <v>4.5</v>
      </c>
    </row>
    <row r="34" spans="2:21" x14ac:dyDescent="0.25">
      <c r="B34" t="s">
        <v>28</v>
      </c>
      <c r="G34" t="s">
        <v>58</v>
      </c>
      <c r="H34">
        <v>-6</v>
      </c>
      <c r="I34">
        <v>-0.96899999999999997</v>
      </c>
      <c r="J34">
        <v>0</v>
      </c>
      <c r="M34" t="s">
        <v>29</v>
      </c>
      <c r="N34">
        <v>5</v>
      </c>
      <c r="O34">
        <v>2.1040000000000001</v>
      </c>
      <c r="Q34">
        <v>-5</v>
      </c>
      <c r="R34">
        <v>3.5</v>
      </c>
      <c r="T34">
        <v>2.1040000000000001</v>
      </c>
      <c r="U34">
        <v>3.5</v>
      </c>
    </row>
    <row r="35" spans="2:21" x14ac:dyDescent="0.25">
      <c r="B35" t="s">
        <v>29</v>
      </c>
      <c r="G35" s="11" t="s">
        <v>59</v>
      </c>
      <c r="H35">
        <v>-0.33333332999999998</v>
      </c>
      <c r="I35">
        <v>-0.61254629999999999</v>
      </c>
      <c r="J35">
        <v>1</v>
      </c>
      <c r="M35" t="s">
        <v>30</v>
      </c>
      <c r="N35">
        <v>5</v>
      </c>
      <c r="O35">
        <v>2.1040000000000001</v>
      </c>
      <c r="Q35">
        <v>-5</v>
      </c>
      <c r="R35">
        <v>2.5</v>
      </c>
      <c r="T35">
        <v>2.1040000000000001</v>
      </c>
      <c r="U35">
        <v>2.5</v>
      </c>
    </row>
    <row r="36" spans="2:21" x14ac:dyDescent="0.25">
      <c r="B36" t="s">
        <v>30</v>
      </c>
      <c r="G36" t="s">
        <v>60</v>
      </c>
      <c r="H36">
        <v>-2.6666666600000002</v>
      </c>
      <c r="I36">
        <v>-1.5107083299999999</v>
      </c>
      <c r="J36">
        <v>2.5</v>
      </c>
      <c r="M36" t="s">
        <v>31</v>
      </c>
      <c r="N36">
        <v>5</v>
      </c>
      <c r="O36">
        <v>2.1040000000000001</v>
      </c>
      <c r="Q36">
        <v>-5</v>
      </c>
      <c r="R36">
        <v>1.5</v>
      </c>
      <c r="T36">
        <v>2.1040000000000001</v>
      </c>
      <c r="U36">
        <v>1.5</v>
      </c>
    </row>
    <row r="37" spans="2:21" x14ac:dyDescent="0.25">
      <c r="B37" t="s">
        <v>31</v>
      </c>
      <c r="G37" t="s">
        <v>61</v>
      </c>
      <c r="H37">
        <v>-5.6666666699999997</v>
      </c>
      <c r="I37">
        <v>-0.35558332999999998</v>
      </c>
      <c r="J37">
        <v>0</v>
      </c>
      <c r="M37" t="s">
        <v>32</v>
      </c>
      <c r="N37">
        <v>5</v>
      </c>
      <c r="O37">
        <v>2.1040000000000001</v>
      </c>
      <c r="Q37">
        <v>-5</v>
      </c>
      <c r="R37">
        <v>0.5</v>
      </c>
      <c r="T37">
        <v>2.1040000000000001</v>
      </c>
      <c r="U37">
        <v>0.5</v>
      </c>
    </row>
    <row r="38" spans="2:21" x14ac:dyDescent="0.25">
      <c r="B38" t="s">
        <v>32</v>
      </c>
      <c r="G38" s="11" t="s">
        <v>62</v>
      </c>
      <c r="H38">
        <v>-0.33333332999999998</v>
      </c>
      <c r="I38">
        <v>-0.68039583000000003</v>
      </c>
      <c r="J38">
        <v>1</v>
      </c>
    </row>
    <row r="39" spans="2:21" x14ac:dyDescent="0.25">
      <c r="G39" t="s">
        <v>63</v>
      </c>
      <c r="H39">
        <v>-2.3333333299999999</v>
      </c>
      <c r="I39">
        <v>-0.83004166999999995</v>
      </c>
      <c r="J39">
        <v>1.5</v>
      </c>
    </row>
    <row r="40" spans="2:21" x14ac:dyDescent="0.25">
      <c r="G40" t="s">
        <v>64</v>
      </c>
      <c r="H40">
        <v>-5.3333333300000003</v>
      </c>
      <c r="I40">
        <v>0.32533332999999998</v>
      </c>
      <c r="J40">
        <v>0</v>
      </c>
      <c r="M40" s="12">
        <v>1</v>
      </c>
      <c r="Q40">
        <f>Q26-H27</f>
        <v>1.6666666699999999</v>
      </c>
    </row>
    <row r="41" spans="2:21" x14ac:dyDescent="0.25">
      <c r="G41" s="11" t="s">
        <v>65</v>
      </c>
      <c r="H41">
        <v>-0.33333332999999998</v>
      </c>
      <c r="I41">
        <v>-0.83783333000000004</v>
      </c>
      <c r="J41">
        <v>1</v>
      </c>
      <c r="M41" s="12">
        <v>2</v>
      </c>
      <c r="Q41">
        <f>Q27-H30</f>
        <v>1.3333333300000001</v>
      </c>
    </row>
    <row r="42" spans="2:21" x14ac:dyDescent="0.25">
      <c r="G42" t="s">
        <v>66</v>
      </c>
      <c r="H42">
        <v>2</v>
      </c>
      <c r="I42">
        <v>-7.4166700000000002E-3</v>
      </c>
      <c r="J42">
        <v>-0.5</v>
      </c>
      <c r="M42" s="12">
        <v>3</v>
      </c>
      <c r="Q42">
        <f>Q28+H33</f>
        <v>1</v>
      </c>
    </row>
    <row r="43" spans="2:21" x14ac:dyDescent="0.25">
      <c r="G43" t="s">
        <v>67</v>
      </c>
      <c r="H43">
        <v>-5</v>
      </c>
      <c r="I43">
        <v>1.16272727</v>
      </c>
      <c r="J43">
        <v>0</v>
      </c>
      <c r="M43" s="12">
        <v>4</v>
      </c>
    </row>
    <row r="44" spans="2:21" x14ac:dyDescent="0.25">
      <c r="M44" s="12">
        <v>5</v>
      </c>
    </row>
    <row r="45" spans="2:21" x14ac:dyDescent="0.25">
      <c r="M45" s="12">
        <v>6</v>
      </c>
    </row>
  </sheetData>
  <phoneticPr fontId="5" type="noConversion"/>
  <dataValidations disablePrompts="1" count="1">
    <dataValidation type="list" allowBlank="1" showInputMessage="1" showErrorMessage="1" sqref="P4:P10" xr:uid="{1F65423E-67F6-49AA-93BD-BE18E24A5182}">
      <formula1>INDIRECT("Table1[polygons]")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6977-141E-4186-94C8-1C9D35C9BA6B}">
  <dimension ref="A1:M19"/>
  <sheetViews>
    <sheetView workbookViewId="0">
      <selection activeCell="J1" sqref="J1:L17"/>
    </sheetView>
  </sheetViews>
  <sheetFormatPr defaultRowHeight="15" x14ac:dyDescent="0.25"/>
  <cols>
    <col min="1" max="3" width="3.7109375" customWidth="1"/>
    <col min="4" max="4" width="3.7109375" style="6" customWidth="1"/>
    <col min="5" max="6" width="3.7109375" customWidth="1"/>
    <col min="7" max="7" width="3.7109375" style="6" customWidth="1"/>
    <col min="8" max="9" width="3.7109375" customWidth="1"/>
    <col min="10" max="10" width="3.7109375" style="7" customWidth="1"/>
    <col min="11" max="12" width="3.7109375" customWidth="1"/>
  </cols>
  <sheetData>
    <row r="1" spans="1:13" x14ac:dyDescent="0.25">
      <c r="A1" s="8">
        <v>-1</v>
      </c>
      <c r="B1" s="8"/>
      <c r="C1" s="8"/>
      <c r="D1" s="9"/>
      <c r="E1" s="8"/>
      <c r="F1" s="8"/>
      <c r="G1" s="9"/>
      <c r="H1" s="8"/>
      <c r="I1" s="8"/>
      <c r="J1" s="10">
        <v>1</v>
      </c>
      <c r="K1" s="8"/>
      <c r="L1" s="8"/>
      <c r="M1" s="8"/>
    </row>
    <row r="2" spans="1:13" x14ac:dyDescent="0.25">
      <c r="A2" s="8"/>
      <c r="B2" s="8"/>
      <c r="C2" s="8"/>
      <c r="D2" s="9"/>
      <c r="E2" s="8"/>
      <c r="F2" s="8"/>
      <c r="G2" s="9"/>
      <c r="H2" s="8"/>
      <c r="I2" s="8">
        <v>-1</v>
      </c>
      <c r="J2" s="10">
        <v>1</v>
      </c>
      <c r="K2" s="8"/>
      <c r="L2" s="8"/>
      <c r="M2" s="8"/>
    </row>
    <row r="3" spans="1:13" x14ac:dyDescent="0.25">
      <c r="A3" s="8">
        <v>-1</v>
      </c>
      <c r="B3" s="8"/>
      <c r="C3" s="8"/>
      <c r="D3" s="9"/>
      <c r="E3" s="8"/>
      <c r="F3" s="8"/>
      <c r="G3" s="9"/>
      <c r="H3" s="8"/>
      <c r="I3" s="8">
        <v>1</v>
      </c>
      <c r="J3" s="10"/>
      <c r="K3" s="8"/>
      <c r="L3" s="8"/>
      <c r="M3" s="8"/>
    </row>
    <row r="4" spans="1:13" x14ac:dyDescent="0.25">
      <c r="A4" s="8"/>
      <c r="B4" s="8"/>
      <c r="C4" s="8"/>
      <c r="D4" s="9"/>
      <c r="E4" s="8"/>
      <c r="F4" s="8"/>
      <c r="G4" s="9"/>
      <c r="H4" s="8">
        <v>-1</v>
      </c>
      <c r="I4" s="8">
        <v>1</v>
      </c>
      <c r="J4" s="10"/>
      <c r="K4" s="8"/>
      <c r="L4" s="8"/>
      <c r="M4" s="8"/>
    </row>
    <row r="5" spans="1:13" x14ac:dyDescent="0.25">
      <c r="A5" s="8">
        <v>-1</v>
      </c>
      <c r="B5" s="8">
        <v>1</v>
      </c>
      <c r="C5" s="8"/>
      <c r="D5" s="9"/>
      <c r="E5" s="8"/>
      <c r="F5" s="8"/>
      <c r="G5" s="9"/>
      <c r="H5" s="8"/>
      <c r="I5" s="8"/>
      <c r="J5" s="10"/>
      <c r="K5" s="8"/>
      <c r="L5" s="8"/>
      <c r="M5" s="8"/>
    </row>
    <row r="6" spans="1:13" x14ac:dyDescent="0.25">
      <c r="A6" s="8"/>
      <c r="B6" s="8">
        <v>-1</v>
      </c>
      <c r="C6" s="8"/>
      <c r="D6" s="9"/>
      <c r="E6" s="8"/>
      <c r="F6" s="8"/>
      <c r="G6" s="9"/>
      <c r="H6" s="8">
        <v>1</v>
      </c>
      <c r="I6" s="8"/>
      <c r="J6" s="10"/>
      <c r="K6" s="8"/>
      <c r="L6" s="8"/>
      <c r="M6" s="8"/>
    </row>
    <row r="7" spans="1:13" x14ac:dyDescent="0.25">
      <c r="A7" s="8"/>
      <c r="B7" s="8"/>
      <c r="C7" s="8"/>
      <c r="D7" s="9"/>
      <c r="E7" s="8"/>
      <c r="F7" s="8"/>
      <c r="G7" s="9"/>
      <c r="H7" s="8">
        <v>-1</v>
      </c>
      <c r="I7" s="8"/>
      <c r="J7" s="10"/>
      <c r="K7" s="8"/>
      <c r="L7" s="8">
        <v>1</v>
      </c>
      <c r="M7" s="8"/>
    </row>
    <row r="8" spans="1:13" x14ac:dyDescent="0.25">
      <c r="A8" s="8"/>
      <c r="B8" s="8">
        <v>-1</v>
      </c>
      <c r="C8" s="8">
        <v>1</v>
      </c>
      <c r="D8" s="9"/>
      <c r="E8" s="8"/>
      <c r="F8" s="8"/>
      <c r="G8" s="9"/>
      <c r="H8" s="8"/>
      <c r="I8" s="8"/>
      <c r="J8" s="10"/>
      <c r="K8" s="8"/>
      <c r="L8" s="8"/>
      <c r="M8" s="8"/>
    </row>
    <row r="9" spans="1:13" x14ac:dyDescent="0.25">
      <c r="A9" s="8"/>
      <c r="B9" s="8"/>
      <c r="C9" s="8">
        <v>-1</v>
      </c>
      <c r="D9" s="9"/>
      <c r="E9" s="8"/>
      <c r="F9" s="8"/>
      <c r="G9" s="9"/>
      <c r="H9" s="8"/>
      <c r="I9" s="8"/>
      <c r="J9" s="10"/>
      <c r="K9" s="8"/>
      <c r="L9" s="8">
        <v>1</v>
      </c>
      <c r="M9" s="8"/>
    </row>
    <row r="10" spans="1:13" x14ac:dyDescent="0.25">
      <c r="A10" s="8"/>
      <c r="B10" s="8"/>
      <c r="C10" s="8"/>
      <c r="D10" s="9"/>
      <c r="E10" s="8"/>
      <c r="F10" s="8"/>
      <c r="G10" s="9">
        <v>-1</v>
      </c>
      <c r="H10" s="8"/>
      <c r="I10" s="8"/>
      <c r="J10" s="10"/>
      <c r="K10" s="8"/>
      <c r="L10" s="8">
        <v>1</v>
      </c>
      <c r="M10" s="8"/>
    </row>
    <row r="11" spans="1:13" x14ac:dyDescent="0.25">
      <c r="A11" s="8"/>
      <c r="B11" s="8"/>
      <c r="C11" s="8">
        <v>-1</v>
      </c>
      <c r="D11" s="9">
        <v>1</v>
      </c>
      <c r="E11" s="8"/>
      <c r="F11" s="8"/>
      <c r="G11" s="9"/>
      <c r="H11" s="8"/>
      <c r="I11" s="8"/>
      <c r="J11" s="10"/>
      <c r="K11" s="8"/>
      <c r="L11" s="8"/>
      <c r="M11" s="8"/>
    </row>
    <row r="12" spans="1:13" x14ac:dyDescent="0.25">
      <c r="A12" s="8"/>
      <c r="B12" s="8"/>
      <c r="C12" s="8"/>
      <c r="D12" s="9">
        <v>-1</v>
      </c>
      <c r="E12" s="8"/>
      <c r="F12" s="8"/>
      <c r="G12" s="9">
        <v>1</v>
      </c>
      <c r="H12" s="8"/>
      <c r="I12" s="8"/>
      <c r="J12" s="10"/>
      <c r="K12" s="8"/>
      <c r="L12" s="8"/>
      <c r="M12" s="8"/>
    </row>
    <row r="13" spans="1:13" x14ac:dyDescent="0.25">
      <c r="A13" s="8"/>
      <c r="B13" s="8"/>
      <c r="C13" s="8"/>
      <c r="D13" s="9"/>
      <c r="E13" s="8"/>
      <c r="F13" s="8">
        <v>-1</v>
      </c>
      <c r="G13" s="9">
        <v>1</v>
      </c>
      <c r="H13" s="8"/>
      <c r="I13" s="8"/>
      <c r="J13" s="10"/>
      <c r="K13" s="8"/>
      <c r="L13" s="8"/>
      <c r="M13" s="8"/>
    </row>
    <row r="14" spans="1:13" x14ac:dyDescent="0.25">
      <c r="A14" s="8"/>
      <c r="B14" s="8"/>
      <c r="C14" s="8"/>
      <c r="D14" s="9">
        <v>-1</v>
      </c>
      <c r="E14" s="8">
        <v>1</v>
      </c>
      <c r="F14" s="8"/>
      <c r="G14" s="9"/>
      <c r="H14" s="8"/>
      <c r="I14" s="8"/>
      <c r="J14" s="10"/>
      <c r="K14" s="8"/>
      <c r="L14" s="8"/>
      <c r="M14" s="8"/>
    </row>
    <row r="15" spans="1:13" x14ac:dyDescent="0.25">
      <c r="A15" s="8"/>
      <c r="B15" s="8"/>
      <c r="C15" s="8"/>
      <c r="D15" s="9"/>
      <c r="E15" s="8">
        <v>-1</v>
      </c>
      <c r="F15" s="8">
        <v>1</v>
      </c>
      <c r="G15" s="9"/>
      <c r="H15" s="8"/>
      <c r="I15" s="8"/>
      <c r="J15" s="10"/>
      <c r="K15" s="8"/>
      <c r="L15" s="8"/>
      <c r="M15" s="8"/>
    </row>
    <row r="16" spans="1:13" x14ac:dyDescent="0.25">
      <c r="A16" s="8"/>
      <c r="B16" s="8"/>
      <c r="C16" s="8"/>
      <c r="D16" s="9"/>
      <c r="E16" s="8"/>
      <c r="F16" s="8">
        <v>-1</v>
      </c>
      <c r="G16" s="9"/>
      <c r="H16" s="8"/>
      <c r="I16" s="8"/>
      <c r="J16" s="10"/>
      <c r="K16" s="8">
        <v>1</v>
      </c>
      <c r="L16" s="8"/>
      <c r="M16" s="8"/>
    </row>
    <row r="17" spans="1:13" x14ac:dyDescent="0.25">
      <c r="A17" s="8"/>
      <c r="B17" s="8"/>
      <c r="C17" s="8"/>
      <c r="D17" s="9"/>
      <c r="E17" s="8">
        <v>-1</v>
      </c>
      <c r="F17" s="8"/>
      <c r="G17" s="9"/>
      <c r="H17" s="8"/>
      <c r="I17" s="8"/>
      <c r="J17" s="10"/>
      <c r="K17" s="8">
        <v>1</v>
      </c>
      <c r="L17" s="8"/>
      <c r="M17" s="8"/>
    </row>
    <row r="18" spans="1:13" x14ac:dyDescent="0.25">
      <c r="A18" s="8"/>
      <c r="B18" s="8"/>
      <c r="C18" s="8"/>
      <c r="D18" s="9"/>
      <c r="E18" s="8"/>
      <c r="F18" s="8"/>
      <c r="G18" s="9"/>
      <c r="H18" s="8"/>
      <c r="I18" s="8"/>
      <c r="J18" s="10"/>
      <c r="K18" s="8"/>
      <c r="L18" s="8"/>
      <c r="M18" s="8"/>
    </row>
    <row r="19" spans="1:13" x14ac:dyDescent="0.25">
      <c r="A19" s="8"/>
      <c r="B19" s="8"/>
      <c r="C19" s="8"/>
      <c r="D19" s="9"/>
      <c r="E19" s="8"/>
      <c r="F19" s="8"/>
      <c r="G19" s="9"/>
      <c r="H19" s="8"/>
      <c r="I19" s="8"/>
      <c r="J19" s="10"/>
      <c r="K19" s="8"/>
      <c r="L19" s="8"/>
      <c r="M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Boyle</dc:creator>
  <cp:lastModifiedBy>Andrew Boyle</cp:lastModifiedBy>
  <dcterms:created xsi:type="dcterms:W3CDTF">2026-02-01T11:39:11Z</dcterms:created>
  <dcterms:modified xsi:type="dcterms:W3CDTF">2026-02-03T21:10:08Z</dcterms:modified>
</cp:coreProperties>
</file>