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w B\OneDrive - University of Cambridge\IIB\4D2 - Advanced Structural Design\CW1a - Code\"/>
    </mc:Choice>
  </mc:AlternateContent>
  <xr:revisionPtr revIDLastSave="0" documentId="13_ncr:1_{149C0EE0-62D6-4E08-A6D0-CDE97CFC8331}" xr6:coauthVersionLast="47" xr6:coauthVersionMax="47" xr10:uidLastSave="{00000000-0000-0000-0000-000000000000}"/>
  <bookViews>
    <workbookView xWindow="-108" yWindow="12852" windowWidth="23256" windowHeight="12456" xr2:uid="{96BC34A1-D6D1-445A-BD03-240BBF1634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5" i="1"/>
  <c r="I6" i="1"/>
  <c r="I7" i="1" s="1"/>
  <c r="I8" i="1" s="1"/>
  <c r="I9" i="1" s="1"/>
  <c r="I10" i="1" s="1"/>
  <c r="I11" i="1" s="1"/>
  <c r="I12" i="1" s="1"/>
  <c r="I13" i="1" s="1"/>
  <c r="I19" i="1" s="1"/>
  <c r="J5" i="1"/>
  <c r="J6" i="1" s="1"/>
  <c r="I5" i="1"/>
  <c r="H1" i="1"/>
  <c r="F7" i="1" s="1"/>
  <c r="E7" i="1"/>
  <c r="F1" i="1" s="1"/>
  <c r="E4" i="1" s="1"/>
  <c r="E10" i="1"/>
  <c r="F4" i="1"/>
  <c r="F12" i="1"/>
  <c r="F13" i="1"/>
  <c r="F14" i="1"/>
  <c r="F15" i="1"/>
  <c r="F11" i="1"/>
  <c r="F10" i="1"/>
  <c r="J7" i="1" l="1"/>
  <c r="J8" i="1" s="1"/>
  <c r="J9" i="1" s="1"/>
  <c r="J10" i="1" s="1"/>
  <c r="I21" i="1"/>
  <c r="I22" i="1"/>
  <c r="I14" i="1"/>
  <c r="I18" i="1" s="1"/>
  <c r="J11" i="1" l="1"/>
  <c r="J22" i="1"/>
  <c r="I15" i="1"/>
  <c r="I17" i="1" s="1"/>
  <c r="J12" i="1" l="1"/>
  <c r="J21" i="1"/>
  <c r="I16" i="1"/>
  <c r="J13" i="1" l="1"/>
  <c r="J20" i="1"/>
  <c r="J14" i="1" l="1"/>
  <c r="J19" i="1"/>
  <c r="I20" i="1" s="1"/>
  <c r="J15" i="1" l="1"/>
  <c r="J18" i="1"/>
  <c r="J16" i="1" l="1"/>
  <c r="J17" i="1"/>
</calcChain>
</file>

<file path=xl/sharedStrings.xml><?xml version="1.0" encoding="utf-8"?>
<sst xmlns="http://schemas.openxmlformats.org/spreadsheetml/2006/main" count="57" uniqueCount="48">
  <si>
    <t>nodes</t>
  </si>
  <si>
    <t>x</t>
  </si>
  <si>
    <t>z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</si>
  <si>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</si>
  <si>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</si>
  <si>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</si>
  <si>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</si>
  <si>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</si>
  <si>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</si>
  <si>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</si>
  <si>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</si>
  <si>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</si>
  <si>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</si>
  <si>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</si>
  <si>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</si>
  <si>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Fx</t>
  </si>
  <si>
    <t>Fz</t>
  </si>
  <si>
    <t xml:space="preserve">P = </t>
  </si>
  <si>
    <t>F_α_x</t>
  </si>
  <si>
    <t>F_δ_z</t>
  </si>
  <si>
    <t>polygons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</si>
  <si>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</si>
  <si>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</si>
  <si>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</si>
  <si>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</si>
  <si>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</si>
  <si>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</si>
  <si>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</si>
  <si>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</si>
  <si>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</si>
  <si>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</si>
  <si>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</si>
  <si>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</si>
  <si>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A_2</t>
  </si>
  <si>
    <t>F_x_1</t>
  </si>
  <si>
    <t>F_x_2</t>
  </si>
  <si>
    <t>F_x_3</t>
  </si>
  <si>
    <t>F_x_4</t>
  </si>
  <si>
    <t>F_x_5</t>
  </si>
  <si>
    <t>F_x_6</t>
  </si>
  <si>
    <t>xP</t>
  </si>
  <si>
    <t>Total</t>
  </si>
  <si>
    <t>Lines</t>
  </si>
  <si>
    <t>L1</t>
  </si>
  <si>
    <t>L2</t>
  </si>
  <si>
    <t>L3</t>
  </si>
  <si>
    <t>L4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</si>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</sst>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  <xf numFmtId="0" fontId="3" fillId="0" borderId="2" applyNumberFormat="0" applyFill="0" applyAlignment="0" applyProtection="0"/>
    <xf numFmtId="0" fontId="4" fillId="4" borderId="3" applyNumberFormat="0" applyAlignment="0" applyProtection="0"/>
  </cellStyleXfs>
  <cellXfs count="6">
    <xf numFmtId="0" fontId="0" fillId="0" borderId="0" xfId="0"/>
    <xf numFmtId="0" fontId="0" fillId="0" borderId="0" xfId="0" applyAlignment="1">
      <alignment horizontal="right"/>
    </xf>
    <xf numFmtId="0" fontId="3" fillId="0" borderId="2" xfId="3"/>
    <xf numFmtId="0" fontId="2" fillId="3" borderId="1" xfId="2"/>
    <xf numFmtId="0" fontId="1" fillId="2" borderId="1" xfId="1"/>
    <xf numFmtId="0" fontId="4" fillId="4" borderId="3" xfId="4"/>
  </cellXfs>
  <cellStyles count="5">
    <cellStyle name="Calculation" xfId="2" builtinId="22"/>
    <cellStyle name="Check Cell" xfId="4" builtinId="23"/>
    <cellStyle name="Input" xfId="1" builtinId="20"/>
    <cellStyle name="Linked Cell" xfId="3" builtinId="2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9F51B-36AB-4BE2-9D92-BE7EFB81481A}" name="Table1" displayName="Table1" ref="H3:J22" totalsRowShown="0">
  <autoFilter ref="H3:J22" xr:uid="{3899F51B-36AB-4BE2-9D92-BE7EFB81481A}"/>
  <tableColumns count="3">
    <tableColumn id="1" xr3:uid="{F4252C0B-20B2-4194-99F2-2D873F08F2FE}" name="polygons"/>
    <tableColumn id="2" xr3:uid="{112FE923-346A-4E96-884C-E53119CA6E8C}" name="x"/>
    <tableColumn id="3" xr3:uid="{BFE94C5B-16C4-4032-BFC2-23EC97BDC108}" name="z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28D4E7-9031-4955-8DFD-EA842EF7B653}" name="Table2" displayName="Table2" ref="B3:F15" totalsRowShown="0">
  <autoFilter ref="B3:F15" xr:uid="{2828D4E7-9031-4955-8DFD-EA842EF7B653}"/>
  <tableColumns count="5">
    <tableColumn id="1" xr3:uid="{31CBA137-4DA3-4186-A7BD-E3F05B4C0675}" name="nodes"/>
    <tableColumn id="2" xr3:uid="{6486EA72-8B0F-4A75-9723-8B070B8FC9E1}" name="x"/>
    <tableColumn id="3" xr3:uid="{28C7EA25-687A-499F-8633-61ED42174048}" name="z"/>
    <tableColumn id="4" xr3:uid="{2F5A3EC5-7DE7-4C38-A617-0E7C95F512B6}" name="Fx"/>
    <tableColumn id="5" xr3:uid="{56F31FD0-CEA2-4AE1-9ACA-15C2074BFACC}" name="Fz">
      <calculatedColumnFormula>-$C$1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E7C17-4534-43A7-82EF-66D9581CB296}">
  <dimension ref="B1:P22"/>
  <sheetViews>
    <sheetView tabSelected="1" workbookViewId="0">
      <selection activeCell="P8" sqref="P8"/>
    </sheetView>
  </sheetViews>
  <sheetFormatPr defaultRowHeight="14.4" x14ac:dyDescent="0.3"/>
  <cols>
    <col min="8" max="8" width="9.88671875" customWidth="1"/>
  </cols>
  <sheetData>
    <row r="1" spans="2:16" ht="15" thickBot="1" x14ac:dyDescent="0.35">
      <c r="B1" s="1" t="s">
        <v>17</v>
      </c>
      <c r="C1">
        <v>100</v>
      </c>
      <c r="E1" s="1" t="s">
        <v>18</v>
      </c>
      <c r="F1" s="2">
        <f>-SUM(E5:E15)</f>
        <v>500</v>
      </c>
      <c r="G1" s="1" t="s">
        <v>19</v>
      </c>
      <c r="H1" s="2">
        <f>-SUM(F4:F6,F8:F15)</f>
        <v>600</v>
      </c>
    </row>
    <row r="2" spans="2:16" ht="15" thickTop="1" x14ac:dyDescent="0.3">
      <c r="O2" t="s">
        <v>47</v>
      </c>
    </row>
    <row r="3" spans="2:16" x14ac:dyDescent="0.3">
      <c r="B3" t="s">
        <v>0</v>
      </c>
      <c r="C3" t="s">
        <v>1</v>
      </c>
      <c r="D3" t="s">
        <v>2</v>
      </c>
      <c r="E3" t="s">
        <v>15</v>
      </c>
      <c r="F3" t="s">
        <v>16</v>
      </c>
      <c r="H3" t="s">
        <v>20</v>
      </c>
      <c r="I3" t="s">
        <v>1</v>
      </c>
      <c r="J3" t="s">
        <v>2</v>
      </c>
      <c r="O3" t="s">
        <v>42</v>
      </c>
    </row>
    <row r="4" spans="2:16" ht="15" thickBot="1" x14ac:dyDescent="0.35">
      <c r="B4" t="s">
        <v>3</v>
      </c>
      <c r="C4">
        <v>0</v>
      </c>
      <c r="D4">
        <v>0</v>
      </c>
      <c r="E4" s="2">
        <f>$F$1</f>
        <v>500</v>
      </c>
      <c r="F4">
        <f>-$C$1/2</f>
        <v>-50</v>
      </c>
      <c r="H4" t="s">
        <v>21</v>
      </c>
      <c r="I4">
        <v>0</v>
      </c>
      <c r="J4">
        <v>0</v>
      </c>
      <c r="L4" t="s">
        <v>40</v>
      </c>
      <c r="M4" t="s">
        <v>41</v>
      </c>
      <c r="O4" t="s">
        <v>43</v>
      </c>
      <c r="P4" t="s">
        <v>21</v>
      </c>
    </row>
    <row r="5" spans="2:16" ht="15" thickTop="1" x14ac:dyDescent="0.3">
      <c r="B5" t="s">
        <v>4</v>
      </c>
      <c r="C5" s="3"/>
      <c r="D5" s="3"/>
      <c r="E5">
        <v>0</v>
      </c>
      <c r="F5">
        <v>0</v>
      </c>
      <c r="H5" t="s">
        <v>22</v>
      </c>
      <c r="I5">
        <f>I4+E5</f>
        <v>0</v>
      </c>
      <c r="J5">
        <f>J4+F5</f>
        <v>0</v>
      </c>
      <c r="K5" s="1" t="s">
        <v>34</v>
      </c>
      <c r="L5" s="4">
        <v>4</v>
      </c>
      <c r="M5">
        <f>L5*$C$1</f>
        <v>400</v>
      </c>
      <c r="O5" t="s">
        <v>44</v>
      </c>
      <c r="P5" t="s">
        <v>22</v>
      </c>
    </row>
    <row r="6" spans="2:16" x14ac:dyDescent="0.3">
      <c r="B6" t="s">
        <v>5</v>
      </c>
      <c r="C6" s="3"/>
      <c r="D6" s="3"/>
      <c r="E6">
        <v>0</v>
      </c>
      <c r="F6">
        <v>0</v>
      </c>
      <c r="H6" t="s">
        <v>23</v>
      </c>
      <c r="I6">
        <f t="shared" ref="I6:I15" si="0">I5+E6</f>
        <v>0</v>
      </c>
      <c r="J6">
        <f t="shared" ref="J6:J15" si="1">J5+F6</f>
        <v>0</v>
      </c>
      <c r="K6" s="1" t="s">
        <v>35</v>
      </c>
      <c r="L6" s="4">
        <v>5</v>
      </c>
      <c r="M6">
        <f t="shared" ref="M6:M10" si="2">L6*$C$1</f>
        <v>500</v>
      </c>
      <c r="O6" t="s">
        <v>45</v>
      </c>
      <c r="P6" t="s">
        <v>23</v>
      </c>
    </row>
    <row r="7" spans="2:16" ht="15" thickBot="1" x14ac:dyDescent="0.35">
      <c r="B7" t="s">
        <v>6</v>
      </c>
      <c r="C7" s="3"/>
      <c r="D7" s="3"/>
      <c r="E7">
        <f>-2*$C$1</f>
        <v>-200</v>
      </c>
      <c r="F7" s="2">
        <f>$H$1</f>
        <v>600</v>
      </c>
      <c r="H7" t="s">
        <v>24</v>
      </c>
      <c r="I7">
        <f t="shared" si="0"/>
        <v>-200</v>
      </c>
      <c r="J7">
        <f t="shared" si="1"/>
        <v>600</v>
      </c>
      <c r="K7" s="1" t="s">
        <v>36</v>
      </c>
      <c r="L7" s="4">
        <v>6</v>
      </c>
      <c r="M7">
        <f t="shared" si="2"/>
        <v>600</v>
      </c>
      <c r="O7" t="s">
        <v>46</v>
      </c>
      <c r="P7" t="s">
        <v>24</v>
      </c>
    </row>
    <row r="8" spans="2:16" ht="15.6" thickTop="1" thickBot="1" x14ac:dyDescent="0.35">
      <c r="B8" t="s">
        <v>7</v>
      </c>
      <c r="C8" s="3"/>
      <c r="D8" s="3"/>
      <c r="E8">
        <v>0</v>
      </c>
      <c r="F8">
        <v>0</v>
      </c>
      <c r="H8" t="s">
        <v>25</v>
      </c>
      <c r="I8">
        <f t="shared" si="0"/>
        <v>-200</v>
      </c>
      <c r="J8">
        <f t="shared" si="1"/>
        <v>600</v>
      </c>
      <c r="K8" s="1" t="s">
        <v>37</v>
      </c>
      <c r="L8" s="5"/>
      <c r="M8">
        <f t="shared" si="2"/>
        <v>0</v>
      </c>
      <c r="P8" t="s">
        <v>21</v>
      </c>
    </row>
    <row r="9" spans="2:16" ht="15" thickTop="1" x14ac:dyDescent="0.3">
      <c r="B9" t="s">
        <v>8</v>
      </c>
      <c r="C9" s="3"/>
      <c r="D9" s="3"/>
      <c r="E9">
        <v>0</v>
      </c>
      <c r="F9">
        <v>0</v>
      </c>
      <c r="H9" t="s">
        <v>26</v>
      </c>
      <c r="I9">
        <f t="shared" si="0"/>
        <v>-200</v>
      </c>
      <c r="J9">
        <f t="shared" si="1"/>
        <v>600</v>
      </c>
      <c r="K9" s="1" t="s">
        <v>38</v>
      </c>
      <c r="L9" s="4">
        <v>5</v>
      </c>
      <c r="M9">
        <f t="shared" si="2"/>
        <v>500</v>
      </c>
      <c r="P9" t="s">
        <v>21</v>
      </c>
    </row>
    <row r="10" spans="2:16" x14ac:dyDescent="0.3">
      <c r="B10" t="s">
        <v>9</v>
      </c>
      <c r="C10">
        <v>24</v>
      </c>
      <c r="D10">
        <v>0</v>
      </c>
      <c r="E10">
        <f>-3*$C$1</f>
        <v>-300</v>
      </c>
      <c r="F10">
        <f>-$C$1/2</f>
        <v>-50</v>
      </c>
      <c r="H10" t="s">
        <v>27</v>
      </c>
      <c r="I10">
        <f t="shared" si="0"/>
        <v>-500</v>
      </c>
      <c r="J10">
        <f t="shared" si="1"/>
        <v>550</v>
      </c>
      <c r="K10" s="1" t="s">
        <v>39</v>
      </c>
      <c r="L10" s="4">
        <v>4</v>
      </c>
      <c r="M10">
        <f t="shared" si="2"/>
        <v>400</v>
      </c>
      <c r="P10" t="s">
        <v>21</v>
      </c>
    </row>
    <row r="11" spans="2:16" x14ac:dyDescent="0.3">
      <c r="B11" t="s">
        <v>10</v>
      </c>
      <c r="C11">
        <v>20</v>
      </c>
      <c r="D11">
        <v>0</v>
      </c>
      <c r="E11">
        <v>0</v>
      </c>
      <c r="F11">
        <f>-$C$1</f>
        <v>-100</v>
      </c>
      <c r="H11" t="s">
        <v>28</v>
      </c>
      <c r="I11">
        <f t="shared" si="0"/>
        <v>-500</v>
      </c>
      <c r="J11">
        <f t="shared" si="1"/>
        <v>450</v>
      </c>
    </row>
    <row r="12" spans="2:16" x14ac:dyDescent="0.3">
      <c r="B12" t="s">
        <v>11</v>
      </c>
      <c r="C12">
        <v>16</v>
      </c>
      <c r="D12">
        <v>0</v>
      </c>
      <c r="E12">
        <v>0</v>
      </c>
      <c r="F12">
        <f t="shared" ref="F12:F15" si="3">-$C$1</f>
        <v>-100</v>
      </c>
      <c r="H12" t="s">
        <v>29</v>
      </c>
      <c r="I12">
        <f t="shared" si="0"/>
        <v>-500</v>
      </c>
      <c r="J12">
        <f t="shared" si="1"/>
        <v>350</v>
      </c>
    </row>
    <row r="13" spans="2:16" x14ac:dyDescent="0.3">
      <c r="B13" t="s">
        <v>12</v>
      </c>
      <c r="C13">
        <v>12</v>
      </c>
      <c r="D13">
        <v>0</v>
      </c>
      <c r="E13">
        <v>0</v>
      </c>
      <c r="F13">
        <f t="shared" si="3"/>
        <v>-100</v>
      </c>
      <c r="H13" t="s">
        <v>30</v>
      </c>
      <c r="I13">
        <f t="shared" si="0"/>
        <v>-500</v>
      </c>
      <c r="J13">
        <f t="shared" si="1"/>
        <v>250</v>
      </c>
    </row>
    <row r="14" spans="2:16" x14ac:dyDescent="0.3">
      <c r="B14" t="s">
        <v>13</v>
      </c>
      <c r="C14">
        <v>8</v>
      </c>
      <c r="D14">
        <v>0</v>
      </c>
      <c r="E14">
        <v>0</v>
      </c>
      <c r="F14">
        <f t="shared" si="3"/>
        <v>-100</v>
      </c>
      <c r="H14" t="s">
        <v>31</v>
      </c>
      <c r="I14">
        <f t="shared" si="0"/>
        <v>-500</v>
      </c>
      <c r="J14">
        <f t="shared" si="1"/>
        <v>150</v>
      </c>
    </row>
    <row r="15" spans="2:16" x14ac:dyDescent="0.3">
      <c r="B15" t="s">
        <v>14</v>
      </c>
      <c r="C15">
        <v>4</v>
      </c>
      <c r="D15">
        <v>0</v>
      </c>
      <c r="E15">
        <v>0</v>
      </c>
      <c r="F15">
        <f t="shared" si="3"/>
        <v>-100</v>
      </c>
      <c r="H15" t="s">
        <v>32</v>
      </c>
      <c r="I15">
        <f t="shared" si="0"/>
        <v>-500</v>
      </c>
      <c r="J15">
        <f t="shared" si="1"/>
        <v>50</v>
      </c>
    </row>
    <row r="16" spans="2:16" x14ac:dyDescent="0.3">
      <c r="H16" t="s">
        <v>33</v>
      </c>
      <c r="I16">
        <f>I15+E4</f>
        <v>0</v>
      </c>
      <c r="J16">
        <f>J15+F4</f>
        <v>0</v>
      </c>
    </row>
    <row r="17" spans="8:10" x14ac:dyDescent="0.3">
      <c r="H17">
        <v>1</v>
      </c>
      <c r="I17">
        <f>I15+M5</f>
        <v>-100</v>
      </c>
      <c r="J17">
        <f>J15</f>
        <v>50</v>
      </c>
    </row>
    <row r="18" spans="8:10" x14ac:dyDescent="0.3">
      <c r="H18">
        <v>2</v>
      </c>
      <c r="I18">
        <f>I14+M6</f>
        <v>0</v>
      </c>
      <c r="J18">
        <f>J14</f>
        <v>150</v>
      </c>
    </row>
    <row r="19" spans="8:10" x14ac:dyDescent="0.3">
      <c r="H19">
        <v>3</v>
      </c>
      <c r="I19">
        <f>I13+M7</f>
        <v>100</v>
      </c>
      <c r="J19">
        <f>J13</f>
        <v>250</v>
      </c>
    </row>
    <row r="20" spans="8:10" ht="15" thickBot="1" x14ac:dyDescent="0.35">
      <c r="H20">
        <v>4</v>
      </c>
      <c r="I20" s="2">
        <f>I19+(-(J20-J19)/3)</f>
        <v>66.666666666666657</v>
      </c>
      <c r="J20">
        <f>J12</f>
        <v>350</v>
      </c>
    </row>
    <row r="21" spans="8:10" ht="15" thickTop="1" x14ac:dyDescent="0.3">
      <c r="H21">
        <v>5</v>
      </c>
      <c r="I21">
        <f>I11+M9</f>
        <v>0</v>
      </c>
      <c r="J21">
        <f>J11</f>
        <v>450</v>
      </c>
    </row>
    <row r="22" spans="8:10" x14ac:dyDescent="0.3">
      <c r="H22">
        <v>6</v>
      </c>
      <c r="I22">
        <f>I10+M10</f>
        <v>-100</v>
      </c>
      <c r="J22">
        <f>J10</f>
        <v>550</v>
      </c>
    </row>
  </sheetData>
  <phoneticPr fontId="5" type="noConversion"/>
  <dataValidations count="1">
    <dataValidation type="list" allowBlank="1" showInputMessage="1" showErrorMessage="1" sqref="P4:P10" xr:uid="{1F65423E-67F6-49AA-93BD-BE18E24A5182}">
      <formula1>INDIRECT("Table1[polygons]")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Boyle</dc:creator>
  <cp:lastModifiedBy>Andrew Boyle</cp:lastModifiedBy>
  <dcterms:created xsi:type="dcterms:W3CDTF">2026-02-01T11:39:11Z</dcterms:created>
  <dcterms:modified xsi:type="dcterms:W3CDTF">2026-02-01T19:04:32Z</dcterms:modified>
</cp:coreProperties>
</file>